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ệu Quả Kênh MK04" state="visible" r:id="rId4"/>
  </sheets>
  <calcPr calcId="171027"/>
</workbook>
</file>

<file path=xl/sharedStrings.xml><?xml version="1.0" encoding="utf-8"?>
<sst xmlns="http://schemas.openxmlformats.org/spreadsheetml/2006/main" count="16" uniqueCount="14">
  <si>
    <t>Kênh/Nguồn</t>
  </si>
  <si>
    <t>K Kỳ Báo Cáo</t>
  </si>
  <si>
    <t>Tổng Chi Phí</t>
  </si>
  <si>
    <t>Số Lead Hợp Lệ</t>
  </si>
  <si>
    <t>CPL (VND)</t>
  </si>
  <si>
    <t>Trạng Thái</t>
  </si>
  <si>
    <t>Facebook Ads</t>
  </si>
  <si>
    <t>2026-01-01 -&gt; 2026-01-31</t>
  </si>
  <si>
    <t>VERIFIED</t>
  </si>
  <si>
    <t>Google Search</t>
  </si>
  <si>
    <t>LOCKED</t>
  </si>
  <si>
    <t>Zalo</t>
  </si>
  <si>
    <t>DRAFT</t>
  </si>
  <si>
    <t>Tổng cộng: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</si>
</sst>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K04_ChiSoTable" displayName="MK04_ChiSoTable" ref="A1:F5" totalsRowCount="1" headerRowCount="1">
  <autoFilter ref="A1:F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Kênh/Nguồn" totalsRowLabel="Tổng cộng:"/>
    <tableColumn id="2" name="K Kỳ Báo Cáo" totalsRowFunction="none"/>
    <tableColumn id="3" name="Tổng Chi Phí" totalsRowFunction="sum"/>
    <tableColumn id="4" name="Số Lead Hợp Lệ" totalsRowFunction="sum"/>
    <tableColumn id="5" name="CPL (VND)" totalsRowFunction="none"/>
    <tableColumn id="6" name="Trạng Thái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20" style="1" customWidth="1"/>
    <col min="4" max="4" width="15" customWidth="1"/>
    <col min="5" max="5" width="20" style="1" customWidth="1"/>
    <col min="6" max="6" width="15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6</v>
      </c>
      <c r="B2" t="s">
        <v>7</v>
      </c>
      <c r="C2" s="1">
        <v>15000000</v>
      </c>
      <c r="D2">
        <v>150</v>
      </c>
      <c r="E2" s="1">
        <f>IF(D2&gt;0, C2/D2, "")</f>
        <v>100000</v>
      </c>
      <c r="F2" t="s">
        <v>8</v>
      </c>
    </row>
    <row r="3" spans="1:6" x14ac:dyDescent="0.25">
      <c r="A3" t="s">
        <v>9</v>
      </c>
      <c r="B3" t="s">
        <v>7</v>
      </c>
      <c r="C3" s="1">
        <v>10000000</v>
      </c>
      <c r="D3">
        <v>80</v>
      </c>
      <c r="E3" s="1">
        <f>IF(D3&gt;0, C3/D3, "")</f>
        <v>125000</v>
      </c>
      <c r="F3" t="s">
        <v>10</v>
      </c>
    </row>
    <row r="4" spans="1:6" x14ac:dyDescent="0.25">
      <c r="A4" t="s">
        <v>11</v>
      </c>
      <c r="B4" t="s">
        <v>7</v>
      </c>
      <c r="C4" s="1">
        <v>5000000</v>
      </c>
      <c r="D4">
        <v>0</v>
      </c>
      <c r="E4" s="1">
        <f>IF(D4&gt;0, C4/D4, "")</f>
        <v>5000000</v>
      </c>
      <c r="F4" t="s">
        <v>12</v>
      </c>
    </row>
    <row r="5" spans="1:6" x14ac:dyDescent="0.25">
      <c r="A5" t="s">
        <v>13</v>
      </c>
      <c r="C5" s="1">
        <f>SUBTOTAL(109,MK04_ChiSoTable[Tổng Chi Phí])</f>
      </c>
      <c r="D5">
        <f>SUBTOTAL(109,MK04_ChiSoTable[Số Lead Hợp Lệ])</f>
      </c>
      <c r="E5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Hiệu Quả Kênh MK04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2026-10-01T08:18:07Z</dcterms:created>
  <dcterms:modified xsi:type="dcterms:W3CDTF">2026-10-01T08:18:07Z</dcterms:modified>
</cp:coreProperties>
</file>